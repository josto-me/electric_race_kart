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85" windowHeight="10740" activeTab="1"/>
  </bookViews>
  <sheets>
    <sheet name="5kW" sheetId="1" r:id="rId1"/>
    <sheet name="10k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2" l="1"/>
  <c r="G24" i="2"/>
  <c r="G25" i="2"/>
  <c r="G26" i="2"/>
  <c r="G27" i="2"/>
  <c r="G28" i="2"/>
  <c r="G29" i="2"/>
  <c r="G30" i="2"/>
  <c r="G31" i="2"/>
  <c r="G32" i="2"/>
  <c r="F32" i="2"/>
  <c r="F23" i="2"/>
  <c r="F24" i="2"/>
  <c r="F25" i="2"/>
  <c r="F26" i="2"/>
  <c r="F27" i="2"/>
  <c r="F28" i="2"/>
  <c r="F29" i="2"/>
  <c r="F30" i="2"/>
  <c r="F31" i="2" l="1"/>
  <c r="C18" i="2"/>
  <c r="H27" i="2" s="1"/>
  <c r="I27" i="2" s="1"/>
  <c r="J17" i="2"/>
  <c r="F17" i="2"/>
  <c r="G17" i="2" s="1"/>
  <c r="H17" i="2" s="1"/>
  <c r="J16" i="2"/>
  <c r="F16" i="2"/>
  <c r="G16" i="2" s="1"/>
  <c r="H16" i="2" s="1"/>
  <c r="J15" i="2"/>
  <c r="F15" i="2"/>
  <c r="G15" i="2" s="1"/>
  <c r="H15" i="2" s="1"/>
  <c r="J14" i="2"/>
  <c r="F14" i="2"/>
  <c r="G14" i="2" s="1"/>
  <c r="H14" i="2" s="1"/>
  <c r="J13" i="2"/>
  <c r="F13" i="2"/>
  <c r="J12" i="2"/>
  <c r="F12" i="2"/>
  <c r="G12" i="2" s="1"/>
  <c r="H12" i="2" s="1"/>
  <c r="J11" i="2"/>
  <c r="F11" i="2"/>
  <c r="J10" i="2"/>
  <c r="F10" i="2"/>
  <c r="G10" i="2" s="1"/>
  <c r="H10" i="2" s="1"/>
  <c r="J9" i="2"/>
  <c r="F9" i="2"/>
  <c r="G9" i="2" s="1"/>
  <c r="H9" i="2" s="1"/>
  <c r="J8" i="2"/>
  <c r="F8" i="2"/>
  <c r="G8" i="2" s="1"/>
  <c r="H8" i="2" s="1"/>
  <c r="J7" i="2"/>
  <c r="F7" i="2"/>
  <c r="G7" i="2" s="1"/>
  <c r="H7" i="2" s="1"/>
  <c r="F41" i="1"/>
  <c r="G41" i="1"/>
  <c r="G36" i="1"/>
  <c r="G37" i="1"/>
  <c r="G38" i="1"/>
  <c r="G39" i="1"/>
  <c r="G40" i="1"/>
  <c r="G35" i="1"/>
  <c r="F35" i="1"/>
  <c r="F36" i="1"/>
  <c r="F37" i="1"/>
  <c r="F38" i="1"/>
  <c r="F39" i="1"/>
  <c r="F40" i="1"/>
  <c r="F34" i="1"/>
  <c r="E43" i="1"/>
  <c r="E42" i="1"/>
  <c r="E41" i="1"/>
  <c r="E40" i="1"/>
  <c r="E39" i="1"/>
  <c r="E38" i="1"/>
  <c r="E37" i="1"/>
  <c r="E36" i="1"/>
  <c r="E35" i="1"/>
  <c r="E34" i="1"/>
  <c r="F30" i="1"/>
  <c r="C30" i="1"/>
  <c r="F29" i="1"/>
  <c r="F28" i="1"/>
  <c r="F27" i="1"/>
  <c r="F26" i="1"/>
  <c r="F25" i="1"/>
  <c r="F24" i="1"/>
  <c r="F23" i="1"/>
  <c r="F22" i="1"/>
  <c r="C18" i="1"/>
  <c r="J17" i="1"/>
  <c r="F17" i="1"/>
  <c r="G17" i="1" s="1"/>
  <c r="H17" i="1" s="1"/>
  <c r="J16" i="1"/>
  <c r="G16" i="1"/>
  <c r="H16" i="1" s="1"/>
  <c r="F16" i="1"/>
  <c r="J15" i="1"/>
  <c r="F15" i="1"/>
  <c r="G15" i="1" s="1"/>
  <c r="H15" i="1" s="1"/>
  <c r="J14" i="1"/>
  <c r="G14" i="1"/>
  <c r="H14" i="1" s="1"/>
  <c r="F14" i="1"/>
  <c r="J13" i="1"/>
  <c r="I13" i="1"/>
  <c r="F13" i="1"/>
  <c r="G13" i="1" s="1"/>
  <c r="J12" i="1"/>
  <c r="I12" i="1"/>
  <c r="F12" i="1"/>
  <c r="G12" i="1" s="1"/>
  <c r="H12" i="1" s="1"/>
  <c r="J11" i="1"/>
  <c r="I11" i="1"/>
  <c r="F11" i="1"/>
  <c r="G11" i="1" s="1"/>
  <c r="J10" i="1"/>
  <c r="I10" i="1"/>
  <c r="G10" i="1"/>
  <c r="H10" i="1" s="1"/>
  <c r="F10" i="1"/>
  <c r="J9" i="1"/>
  <c r="F9" i="1"/>
  <c r="G9" i="1" s="1"/>
  <c r="H9" i="1" s="1"/>
  <c r="J8" i="1"/>
  <c r="G8" i="1"/>
  <c r="H8" i="1" s="1"/>
  <c r="F8" i="1"/>
  <c r="J7" i="1"/>
  <c r="F7" i="1"/>
  <c r="G7" i="1" s="1"/>
  <c r="H7" i="1" s="1"/>
  <c r="H24" i="2" l="1"/>
  <c r="I24" i="2" s="1"/>
  <c r="H28" i="2"/>
  <c r="I28" i="2" s="1"/>
  <c r="H32" i="2"/>
  <c r="I32" i="2" s="1"/>
  <c r="H25" i="2"/>
  <c r="I25" i="2" s="1"/>
  <c r="H29" i="2"/>
  <c r="I29" i="2" s="1"/>
  <c r="G11" i="2"/>
  <c r="H11" i="2" s="1"/>
  <c r="G13" i="2"/>
  <c r="H13" i="2" s="1"/>
  <c r="H26" i="2"/>
  <c r="I26" i="2" s="1"/>
  <c r="H30" i="2"/>
  <c r="I30" i="2" s="1"/>
  <c r="H23" i="2"/>
  <c r="I23" i="2" s="1"/>
  <c r="H31" i="2"/>
  <c r="I31" i="2" s="1"/>
  <c r="H39" i="1"/>
  <c r="G34" i="1"/>
  <c r="H36" i="1"/>
  <c r="G43" i="1"/>
  <c r="H40" i="1"/>
  <c r="H13" i="1"/>
  <c r="H38" i="1"/>
  <c r="H11" i="1"/>
  <c r="H34" i="1"/>
  <c r="G42" i="1"/>
  <c r="H42" i="1" s="1"/>
  <c r="H35" i="1"/>
  <c r="H37" i="1"/>
  <c r="H41" i="1"/>
  <c r="C27" i="2"/>
</calcChain>
</file>

<file path=xl/sharedStrings.xml><?xml version="1.0" encoding="utf-8"?>
<sst xmlns="http://schemas.openxmlformats.org/spreadsheetml/2006/main" count="78" uniqueCount="41">
  <si>
    <t>Technical data</t>
  </si>
  <si>
    <t>Drag coefficient cw</t>
  </si>
  <si>
    <t>Frontal area in m²</t>
  </si>
  <si>
    <t>Mass in kg</t>
  </si>
  <si>
    <t>g in m/s²</t>
  </si>
  <si>
    <t>Rolling resistance in N</t>
  </si>
  <si>
    <t>FL</t>
  </si>
  <si>
    <t>v in km/h</t>
  </si>
  <si>
    <t>Air density in kg/m³</t>
  </si>
  <si>
    <t>F</t>
  </si>
  <si>
    <t>Wheel diameter in m</t>
  </si>
  <si>
    <t>Drivetrain efficiency</t>
  </si>
  <si>
    <t>Motor power 1 in W</t>
  </si>
  <si>
    <t>Rated speed in min-1</t>
  </si>
  <si>
    <t>Rolling resistance coefficient µR</t>
  </si>
  <si>
    <t>Calculations</t>
  </si>
  <si>
    <t>Motor speed</t>
  </si>
  <si>
    <t>Gear ratio</t>
  </si>
  <si>
    <t>F wheel max.</t>
  </si>
  <si>
    <t>F drive</t>
  </si>
  <si>
    <t>Accel. m/s²</t>
  </si>
  <si>
    <t>Drive force without acceleration in N</t>
  </si>
  <si>
    <t>n Motor</t>
  </si>
  <si>
    <t>P wheel max</t>
  </si>
  <si>
    <t>P drive req.</t>
  </si>
  <si>
    <t/>
  </si>
  <si>
    <t>Frame</t>
  </si>
  <si>
    <t>Motor</t>
  </si>
  <si>
    <t>Battery</t>
  </si>
  <si>
    <t>Accessories</t>
  </si>
  <si>
    <t>Driver</t>
  </si>
  <si>
    <t>Mass in kg:</t>
  </si>
  <si>
    <t>Total mass</t>
  </si>
  <si>
    <t>Rated torque in Nm</t>
  </si>
  <si>
    <t>Motor torque</t>
  </si>
  <si>
    <t>Speed in min-1</t>
  </si>
  <si>
    <t>Torque</t>
  </si>
  <si>
    <t>Static friction coefficient µH</t>
  </si>
  <si>
    <t>P Motor</t>
  </si>
  <si>
    <t>Motor torque (rated operation)</t>
  </si>
  <si>
    <t>Total mass [kg]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</si>
</sst>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8" xfId="0" applyFill="1" applyBorder="1"/>
    <xf numFmtId="0" fontId="0" fillId="2" borderId="8" xfId="0" applyFill="1" applyBorder="1"/>
    <xf numFmtId="0" fontId="0" fillId="2" borderId="9" xfId="0" applyFill="1" applyBorder="1" applyAlignment="1">
      <alignment horizontal="left"/>
    </xf>
    <xf numFmtId="0" fontId="0" fillId="0" borderId="10" xfId="0" applyFill="1" applyBorder="1"/>
    <xf numFmtId="0" fontId="0" fillId="0" borderId="12" xfId="0" applyFill="1" applyBorder="1" applyAlignment="1">
      <alignment horizontal="left"/>
    </xf>
    <xf numFmtId="1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2" xfId="0" applyNumberFormat="1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12712"/>
        <c:axId val="187361648"/>
      </c:scatterChart>
      <c:valAx>
        <c:axId val="1873127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361648"/>
        <c:crosses val="autoZero"/>
        <c:crossBetween val="midCat"/>
        <c:majorUnit val="10"/>
      </c:valAx>
      <c:valAx>
        <c:axId val="18736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312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129003304638733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44448"/>
        <c:axId val="187174424"/>
      </c:scatterChart>
      <c:valAx>
        <c:axId val="1859444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174424"/>
        <c:crosses val="autoZero"/>
        <c:crossBetween val="midCat"/>
        <c:majorUnit val="10"/>
      </c:valAx>
      <c:valAx>
        <c:axId val="18717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944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733296"/>
        <c:axId val="454733680"/>
      </c:scatterChart>
      <c:valAx>
        <c:axId val="4547332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33680"/>
        <c:crosses val="autoZero"/>
        <c:crossBetween val="midCat"/>
        <c:majorUnit val="10"/>
      </c:valAx>
      <c:valAx>
        <c:axId val="4547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733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'5kW'!$H$33</c:f>
              <c:strCache>
                <c:ptCount val="1"/>
                <c:pt idx="0">
                  <c:v>Accel. m/s²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'5kW'!$E$34:$E$40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'5kW'!$H$34:$H$40</c:f>
              <c:numCache>
                <c:formatCode>0.00</c:formatCode>
                <c:ptCount val="7"/>
                <c:pt idx="0">
                  <c:v>2.9799666666666673</c:v>
                </c:pt>
                <c:pt idx="1">
                  <c:v>2.9649632373113857</c:v>
                </c:pt>
                <c:pt idx="2">
                  <c:v>2.9199529492455421</c:v>
                </c:pt>
                <c:pt idx="3">
                  <c:v>2.8449358024691365</c:v>
                </c:pt>
                <c:pt idx="4">
                  <c:v>2.7399117969821676</c:v>
                </c:pt>
                <c:pt idx="5">
                  <c:v>2.6048809327846367</c:v>
                </c:pt>
                <c:pt idx="6">
                  <c:v>1.2176209876543209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40600"/>
        <c:axId val="185640992"/>
      </c:scatterChart>
      <c:valAx>
        <c:axId val="18564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640992"/>
        <c:crosses val="autoZero"/>
        <c:crossBetween val="midCat"/>
      </c:valAx>
      <c:valAx>
        <c:axId val="18564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Acceleration in m/s²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5640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4464"/>
        <c:axId val="454804856"/>
      </c:scatterChart>
      <c:valAx>
        <c:axId val="4548044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4856"/>
        <c:crosses val="autoZero"/>
        <c:crossBetween val="midCat"/>
        <c:majorUnit val="10"/>
      </c:valAx>
      <c:valAx>
        <c:axId val="45480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6032"/>
        <c:axId val="454806424"/>
      </c:scatterChart>
      <c:valAx>
        <c:axId val="4548060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6424"/>
        <c:crosses val="autoZero"/>
        <c:crossBetween val="midCat"/>
        <c:majorUnit val="10"/>
      </c:valAx>
      <c:valAx>
        <c:axId val="45480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 power and 5 kW motor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'5kW'!$H$6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'5kW'!$H$7:$H$17</c:f>
              <c:numCache>
                <c:formatCode>0</c:formatCode>
                <c:ptCount val="11"/>
                <c:pt idx="0">
                  <c:v>0</c:v>
                </c:pt>
                <c:pt idx="1">
                  <c:v>350.85171467764064</c:v>
                </c:pt>
                <c:pt idx="2">
                  <c:v>746.71371742112501</c:v>
                </c:pt>
                <c:pt idx="3">
                  <c:v>1232.5962962962967</c:v>
                </c:pt>
                <c:pt idx="4">
                  <c:v>1853.5097393689989</c:v>
                </c:pt>
                <c:pt idx="5">
                  <c:v>2654.464334705076</c:v>
                </c:pt>
                <c:pt idx="6">
                  <c:v>3680.4703703703713</c:v>
                </c:pt>
                <c:pt idx="7">
                  <c:v>4976.538134430728</c:v>
                </c:pt>
                <c:pt idx="8">
                  <c:v>6587.6779149519898</c:v>
                </c:pt>
                <c:pt idx="9">
                  <c:v>8558.9000000000015</c:v>
                </c:pt>
                <c:pt idx="10">
                  <c:v>10935.214677640604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'5kW'!$I$6</c:f>
              <c:strCache>
                <c:ptCount val="1"/>
                <c:pt idx="0">
                  <c:v>P wheel max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'5kW'!$E$12:$E$15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'5kW'!$I$10:$I$14</c:f>
              <c:numCache>
                <c:formatCode>General</c:formatCode>
                <c:ptCount val="5"/>
                <c:pt idx="0">
                  <c:v>4250</c:v>
                </c:pt>
                <c:pt idx="1">
                  <c:v>4250</c:v>
                </c:pt>
                <c:pt idx="2">
                  <c:v>4250</c:v>
                </c:pt>
                <c:pt idx="3">
                  <c:v>4250</c:v>
                </c:pt>
                <c:pt idx="4">
                  <c:v>4250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'5kW'!$J$6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'5kW'!$E$7:$E$17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'5kW'!$J$7:$J$17</c:f>
              <c:numCache>
                <c:formatCode>0</c:formatCode>
                <c:ptCount val="11"/>
                <c:pt idx="0">
                  <c:v>0</c:v>
                </c:pt>
                <c:pt idx="1">
                  <c:v>648.40902741142543</c:v>
                </c:pt>
                <c:pt idx="2">
                  <c:v>1296.8180548228509</c:v>
                </c:pt>
                <c:pt idx="3">
                  <c:v>1945.2270822342764</c:v>
                </c:pt>
                <c:pt idx="4">
                  <c:v>2593.6361096457017</c:v>
                </c:pt>
                <c:pt idx="5">
                  <c:v>3242.0451370571277</c:v>
                </c:pt>
                <c:pt idx="6">
                  <c:v>3890.4541644685528</c:v>
                </c:pt>
                <c:pt idx="7">
                  <c:v>4538.8631918799774</c:v>
                </c:pt>
                <c:pt idx="8">
                  <c:v>5187.2722192914034</c:v>
                </c:pt>
                <c:pt idx="9">
                  <c:v>5835.6812467028294</c:v>
                </c:pt>
                <c:pt idx="10">
                  <c:v>6484.0902741142554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7208"/>
        <c:axId val="454807600"/>
      </c:scatterChart>
      <c:valAx>
        <c:axId val="45480720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7600"/>
        <c:crosses val="autoZero"/>
        <c:crossBetween val="midCat"/>
        <c:majorUnit val="10"/>
      </c:valAx>
      <c:valAx>
        <c:axId val="4548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Drive power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2653646788775058"/>
          <c:y val="0.11245383688868098"/>
          <c:w val="0.83824495056397519"/>
          <c:h val="0.745308720473028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'10kW'!$H$6</c:f>
              <c:strCache>
                <c:ptCount val="1"/>
                <c:pt idx="0">
                  <c:v>P drive req.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'10kW'!$H$7:$H$17</c:f>
              <c:numCache>
                <c:formatCode>0</c:formatCode>
                <c:ptCount val="11"/>
                <c:pt idx="0">
                  <c:v>0</c:v>
                </c:pt>
                <c:pt idx="1">
                  <c:v>349.34762088477373</c:v>
                </c:pt>
                <c:pt idx="2">
                  <c:v>734.6809670781895</c:v>
                </c:pt>
                <c:pt idx="3">
                  <c:v>1191.9857638888889</c:v>
                </c:pt>
                <c:pt idx="4">
                  <c:v>1757.2477366255143</c:v>
                </c:pt>
                <c:pt idx="5">
                  <c:v>2466.4526105967079</c:v>
                </c:pt>
                <c:pt idx="6">
                  <c:v>3355.5861111111112</c:v>
                </c:pt>
                <c:pt idx="7">
                  <c:v>4460.6339634773658</c:v>
                </c:pt>
                <c:pt idx="8">
                  <c:v>5817.581893004116</c:v>
                </c:pt>
                <c:pt idx="9">
                  <c:v>7462.4156249999996</c:v>
                </c:pt>
                <c:pt idx="10">
                  <c:v>9431.1208847736616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'10kW'!$I$6</c:f>
              <c:strCache>
                <c:ptCount val="1"/>
                <c:pt idx="0">
                  <c:v>P Motor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'10kW'!$E$7:$E$14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</c:numCache>
            </c:numRef>
          </c:xVal>
          <c:yVal>
            <c:numRef>
              <c:f>'10kW'!$I$7:$I$14</c:f>
              <c:numCache>
                <c:formatCode>General</c:formatCode>
                <c:ptCount val="8"/>
                <c:pt idx="0">
                  <c:v>0</c:v>
                </c:pt>
                <c:pt idx="1">
                  <c:v>3500</c:v>
                </c:pt>
                <c:pt idx="2">
                  <c:v>6000</c:v>
                </c:pt>
                <c:pt idx="3">
                  <c:v>8100</c:v>
                </c:pt>
                <c:pt idx="4">
                  <c:v>9800</c:v>
                </c:pt>
                <c:pt idx="5">
                  <c:v>8900</c:v>
                </c:pt>
                <c:pt idx="6">
                  <c:v>6300</c:v>
                </c:pt>
                <c:pt idx="7">
                  <c:v>1300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'10kW'!$J$6</c:f>
              <c:strCache>
                <c:ptCount val="1"/>
                <c:pt idx="0">
                  <c:v>n Motor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8888888888888886E-4"/>
                  <c:y val="-8.0958089867508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'10kW'!$E$7:$E$17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'10kW'!$J$7:$J$17</c:f>
              <c:numCache>
                <c:formatCode>0</c:formatCode>
                <c:ptCount val="11"/>
                <c:pt idx="0">
                  <c:v>0</c:v>
                </c:pt>
                <c:pt idx="1">
                  <c:v>707.35530263064595</c:v>
                </c:pt>
                <c:pt idx="2">
                  <c:v>1414.7106052612919</c:v>
                </c:pt>
                <c:pt idx="3">
                  <c:v>2122.065907891938</c:v>
                </c:pt>
                <c:pt idx="4">
                  <c:v>2829.4212105225838</c:v>
                </c:pt>
                <c:pt idx="5">
                  <c:v>3536.7765131532306</c:v>
                </c:pt>
                <c:pt idx="6">
                  <c:v>4244.1318157838759</c:v>
                </c:pt>
                <c:pt idx="7">
                  <c:v>4951.4871184145213</c:v>
                </c:pt>
                <c:pt idx="8">
                  <c:v>5658.8424210451676</c:v>
                </c:pt>
                <c:pt idx="9">
                  <c:v>6366.1977236758139</c:v>
                </c:pt>
                <c:pt idx="10">
                  <c:v>7073.5530263064611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8384"/>
        <c:axId val="454808776"/>
      </c:scatterChart>
      <c:valAx>
        <c:axId val="4548083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 in km/h</a:t>
                </a:r>
              </a:p>
            </c:rich>
          </c:tx>
          <c:layout>
            <c:manualLayout>
              <c:xMode val="edge"/>
              <c:yMode val="edge"/>
              <c:x val="0.41720016180773101"/>
              <c:y val="0.917805087149981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 w="sm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8776"/>
        <c:crosses val="autoZero"/>
        <c:crossBetween val="midCat"/>
        <c:majorUnit val="10"/>
      </c:valAx>
      <c:valAx>
        <c:axId val="45480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Power in 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 w="sm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393014045287356"/>
          <c:y val="0.13943623766909882"/>
          <c:w val="0.18811277622555242"/>
          <c:h val="0.200001368717586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>
      <c:oddHeader>&amp;Z
&amp;"-,Bold"&amp;14&amp;MFF0000Berechnungen KART mit 10kW Motor</c:oddHeader>
    </c:headerFooter>
    <c:pageMargins b="0.78740157499999996" l="0.7" r="0.7" t="0.78740157499999996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Acceleration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4438670166229223"/>
          <c:y val="0.13467592592592595"/>
          <c:w val="0.81239107611548556"/>
          <c:h val="0.70604950422863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'10kW'!$I$22</c:f>
              <c:strCache>
                <c:ptCount val="1"/>
                <c:pt idx="0">
                  <c:v>Accel. m/s²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'10kW'!$F$23:$F$32</c:f>
              <c:numCache>
                <c:formatCode>0</c:formatCode>
                <c:ptCount val="10"/>
                <c:pt idx="0">
                  <c:v>0</c:v>
                </c:pt>
                <c:pt idx="1">
                  <c:v>7.0685834705770345</c:v>
                </c:pt>
                <c:pt idx="2">
                  <c:v>14.137166941154069</c:v>
                </c:pt>
                <c:pt idx="3">
                  <c:v>21.205750411731103</c:v>
                </c:pt>
                <c:pt idx="4">
                  <c:v>28.274333882308138</c:v>
                </c:pt>
                <c:pt idx="5">
                  <c:v>35.342917352885173</c:v>
                </c:pt>
                <c:pt idx="6">
                  <c:v>42.411500823462205</c:v>
                </c:pt>
                <c:pt idx="7">
                  <c:v>49.480084294039244</c:v>
                </c:pt>
                <c:pt idx="8">
                  <c:v>56.548667764616276</c:v>
                </c:pt>
                <c:pt idx="9">
                  <c:v>63.617251235193315</c:v>
                </c:pt>
              </c:numCache>
            </c:numRef>
          </c:xVal>
          <c:yVal>
            <c:numRef>
              <c:f>'10kW'!$I$23:$I$32</c:f>
              <c:numCache>
                <c:formatCode>0.00</c:formatCode>
                <c:ptCount val="10"/>
                <c:pt idx="0">
                  <c:v>8.2021888888888892</c:v>
                </c:pt>
                <c:pt idx="1">
                  <c:v>6.7147140001775139</c:v>
                </c:pt>
                <c:pt idx="2">
                  <c:v>5.8078448895989458</c:v>
                </c:pt>
                <c:pt idx="3">
                  <c:v>5.1852852608568867</c:v>
                </c:pt>
                <c:pt idx="4">
                  <c:v>4.5507388176550405</c:v>
                </c:pt>
                <c:pt idx="5">
                  <c:v>4.200501856289705</c:v>
                </c:pt>
                <c:pt idx="6">
                  <c:v>3.8382780804645824</c:v>
                </c:pt>
                <c:pt idx="7">
                  <c:v>2.5751786012907845</c:v>
                </c:pt>
                <c:pt idx="8">
                  <c:v>1.596388603953496</c:v>
                </c:pt>
                <c:pt idx="9">
                  <c:v>8.7093273637902438E-2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809560"/>
        <c:axId val="454809952"/>
      </c:scatterChart>
      <c:valAx>
        <c:axId val="45480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Speed</a:t>
                </a:r>
                <a:r>
                  <a:rPr lang="de-DE" baseline="0"/>
                  <a:t> in km/h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4026377952755905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 w="sm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9952"/>
        <c:crosses val="autoZero"/>
        <c:crossBetween val="midCat"/>
      </c:valAx>
      <c:valAx>
        <c:axId val="45480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Acceleration in m/s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 w="sm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54809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6" name="Diagramm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7" name="Diagram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20</xdr:row>
      <xdr:rowOff>14287</xdr:rowOff>
    </xdr:from>
    <xdr:to>
      <xdr:col>18</xdr:col>
      <xdr:colOff>19050</xdr:colOff>
      <xdr:row>37</xdr:row>
      <xdr:rowOff>142875</xdr:rowOff>
    </xdr:to>
    <xdr:graphicFrame macro="">
      <xdr:nvGraphicFramePr>
        <xdr:cNvPr id="9" name="Diagramm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1</xdr:row>
      <xdr:rowOff>185737</xdr:rowOff>
    </xdr:from>
    <xdr:to>
      <xdr:col>18</xdr:col>
      <xdr:colOff>38100</xdr:colOff>
      <xdr:row>18</xdr:row>
      <xdr:rowOff>161925</xdr:rowOff>
    </xdr:to>
    <xdr:graphicFrame macro="">
      <xdr:nvGraphicFramePr>
        <xdr:cNvPr id="4" name="Diagramm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2</xdr:row>
      <xdr:rowOff>4762</xdr:rowOff>
    </xdr:from>
    <xdr:to>
      <xdr:col>18</xdr:col>
      <xdr:colOff>66675</xdr:colOff>
      <xdr:row>18</xdr:row>
      <xdr:rowOff>171450</xdr:rowOff>
    </xdr:to>
    <xdr:graphicFrame macro="">
      <xdr:nvGraphicFramePr>
        <xdr:cNvPr id="5" name="Diagramm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76199</xdr:colOff>
      <xdr:row>19</xdr:row>
      <xdr:rowOff>114300</xdr:rowOff>
    </xdr:from>
    <xdr:to>
      <xdr:col>18</xdr:col>
      <xdr:colOff>95250</xdr:colOff>
      <xdr:row>37</xdr:row>
      <xdr:rowOff>57150</xdr:rowOff>
    </xdr:to>
    <xdr:graphicFrame macro="">
      <xdr:nvGraphicFramePr>
        <xdr:cNvPr id="7" name="Diagram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44"/>
  <sheetViews>
    <sheetView view="pageLayout" zoomScaleNormal="100" workbookViewId="0">
      <selection activeCell="E20" sqref="E20:F20"/>
    </sheetView>
  </sheetViews>
  <sheetFormatPr baseColWidth="10" defaultRowHeight="15" x14ac:dyDescent="0.25"/>
  <cols>
    <col min="1" max="1" width="5" customWidth="1"/>
    <col min="2" max="2" width="24.7109375" customWidth="1"/>
    <col min="3" max="3" width="8.5703125" customWidth="1"/>
    <col min="4" max="4" width="8.140625" customWidth="1"/>
    <col min="5" max="5" width="12" customWidth="1"/>
    <col min="6" max="6" width="9.42578125" customWidth="1"/>
    <col min="7" max="7" width="9.85546875" customWidth="1"/>
    <col min="8" max="8" width="10.140625" customWidth="1"/>
    <col min="11" max="11" width="7.140625" customWidth="1"/>
  </cols>
  <sheetData>
    <row r="3" spans="2:10" x14ac:dyDescent="0.25">
      <c r="B3" s="62" t="s">
        <v>0</v>
      </c>
      <c r="C3" s="62"/>
      <c r="E3" s="62" t="s">
        <v>15</v>
      </c>
      <c r="F3" s="62"/>
      <c r="G3" s="62"/>
      <c r="H3" s="62"/>
      <c r="I3" s="62"/>
    </row>
    <row r="5" spans="2:10" ht="15" customHeight="1" x14ac:dyDescent="0.25">
      <c r="B5" s="3" t="s">
        <v>1</v>
      </c>
      <c r="C5" s="6">
        <v>0.7</v>
      </c>
      <c r="E5" s="59" t="s">
        <v>21</v>
      </c>
      <c r="F5" s="60"/>
      <c r="G5" s="60"/>
      <c r="H5" s="60"/>
      <c r="I5" s="60"/>
      <c r="J5" s="61"/>
    </row>
    <row r="6" spans="2:10" x14ac:dyDescent="0.25">
      <c r="B6" s="3" t="s">
        <v>2</v>
      </c>
      <c r="C6" s="6">
        <v>0.8</v>
      </c>
      <c r="E6" s="10" t="s">
        <v>7</v>
      </c>
      <c r="F6" s="10" t="s">
        <v>6</v>
      </c>
      <c r="G6" s="9" t="s">
        <v>9</v>
      </c>
      <c r="H6" s="9" t="s">
        <v>24</v>
      </c>
      <c r="I6" s="24" t="s">
        <v>23</v>
      </c>
      <c r="J6" s="10" t="s">
        <v>22</v>
      </c>
    </row>
    <row r="7" spans="2:10" x14ac:dyDescent="0.25">
      <c r="B7" s="3" t="s">
        <v>3</v>
      </c>
      <c r="C7" s="6">
        <v>180</v>
      </c>
      <c r="E7" s="1">
        <v>0</v>
      </c>
      <c r="F7" s="4">
        <f t="shared" ref="F7:F17" si="0">$C$11*$C$5*$C$6*SUMSQ(E7/3.6)/2</f>
        <v>0</v>
      </c>
      <c r="G7" s="5">
        <f t="shared" ref="G7:G17" si="1">F7+$C$18</f>
        <v>123.60600000000002</v>
      </c>
      <c r="H7" s="17">
        <f>G7*E7/3.6</f>
        <v>0</v>
      </c>
      <c r="I7" s="16"/>
      <c r="J7" s="11">
        <f t="shared" ref="J7:J17" si="2">$F$20*60*(E7/3.6)/($C$12*PI())</f>
        <v>0</v>
      </c>
    </row>
    <row r="8" spans="2:10" x14ac:dyDescent="0.25">
      <c r="B8" s="3" t="s">
        <v>14</v>
      </c>
      <c r="C8" s="6">
        <v>7.0000000000000007E-2</v>
      </c>
      <c r="E8" s="1">
        <v>10</v>
      </c>
      <c r="F8" s="4">
        <f t="shared" si="0"/>
        <v>2.7006172839506175</v>
      </c>
      <c r="G8" s="5">
        <f t="shared" si="1"/>
        <v>126.30661728395064</v>
      </c>
      <c r="H8" s="17">
        <f>G8*E8/3.6</f>
        <v>350.85171467764064</v>
      </c>
      <c r="I8" s="16"/>
      <c r="J8" s="11">
        <f t="shared" si="2"/>
        <v>648.40902741142543</v>
      </c>
    </row>
    <row r="9" spans="2:10" x14ac:dyDescent="0.25">
      <c r="B9" s="3" t="s">
        <v>37</v>
      </c>
      <c r="C9" s="8">
        <v>0.9</v>
      </c>
      <c r="E9" s="1">
        <v>20</v>
      </c>
      <c r="F9" s="4">
        <f t="shared" si="0"/>
        <v>10.80246913580247</v>
      </c>
      <c r="G9" s="5">
        <f t="shared" si="1"/>
        <v>134.40846913580251</v>
      </c>
      <c r="H9" s="17">
        <f t="shared" ref="H9:H17" si="3">G9*E9/3.6</f>
        <v>746.71371742112501</v>
      </c>
      <c r="I9" s="16"/>
      <c r="J9" s="11">
        <f t="shared" si="2"/>
        <v>1296.8180548228509</v>
      </c>
    </row>
    <row r="10" spans="2:10" x14ac:dyDescent="0.25">
      <c r="B10" s="3" t="s">
        <v>4</v>
      </c>
      <c r="C10" s="6">
        <v>9.81</v>
      </c>
      <c r="E10" s="1">
        <v>30</v>
      </c>
      <c r="F10" s="4">
        <f t="shared" si="0"/>
        <v>24.305555555555561</v>
      </c>
      <c r="G10" s="5">
        <f t="shared" si="1"/>
        <v>147.91155555555559</v>
      </c>
      <c r="H10" s="17">
        <f t="shared" si="3"/>
        <v>1232.5962962962967</v>
      </c>
      <c r="I10" s="16">
        <f>$C$14*$C$13</f>
        <v>4250</v>
      </c>
      <c r="J10" s="11">
        <f t="shared" si="2"/>
        <v>1945.2270822342764</v>
      </c>
    </row>
    <row r="11" spans="2:10" x14ac:dyDescent="0.25">
      <c r="B11" s="3" t="s">
        <v>8</v>
      </c>
      <c r="C11" s="6">
        <v>1.25</v>
      </c>
      <c r="E11" s="1">
        <v>40</v>
      </c>
      <c r="F11" s="4">
        <f t="shared" si="0"/>
        <v>43.20987654320988</v>
      </c>
      <c r="G11" s="5">
        <f t="shared" si="1"/>
        <v>166.8158765432099</v>
      </c>
      <c r="H11" s="17">
        <f t="shared" si="3"/>
        <v>1853.5097393689989</v>
      </c>
      <c r="I11" s="16">
        <f>$C$14*$C$13</f>
        <v>4250</v>
      </c>
      <c r="J11" s="11">
        <f t="shared" si="2"/>
        <v>2593.6361096457017</v>
      </c>
    </row>
    <row r="12" spans="2:10" x14ac:dyDescent="0.25">
      <c r="B12" s="7" t="s">
        <v>10</v>
      </c>
      <c r="C12" s="8">
        <v>0.18</v>
      </c>
      <c r="E12" s="1">
        <v>50</v>
      </c>
      <c r="F12" s="4">
        <f t="shared" si="0"/>
        <v>67.515432098765444</v>
      </c>
      <c r="G12" s="5">
        <f t="shared" si="1"/>
        <v>191.12143209876547</v>
      </c>
      <c r="H12" s="17">
        <f t="shared" si="3"/>
        <v>2654.464334705076</v>
      </c>
      <c r="I12" s="16">
        <f>$C$14*$C$13</f>
        <v>4250</v>
      </c>
      <c r="J12" s="11">
        <f t="shared" si="2"/>
        <v>3242.0451370571277</v>
      </c>
    </row>
    <row r="13" spans="2:10" x14ac:dyDescent="0.25">
      <c r="B13" s="7" t="s">
        <v>11</v>
      </c>
      <c r="C13" s="8">
        <v>0.85</v>
      </c>
      <c r="E13" s="1">
        <v>60</v>
      </c>
      <c r="F13" s="4">
        <f t="shared" si="0"/>
        <v>97.222222222222243</v>
      </c>
      <c r="G13" s="5">
        <f t="shared" si="1"/>
        <v>220.82822222222228</v>
      </c>
      <c r="H13" s="17">
        <f t="shared" si="3"/>
        <v>3680.4703703703713</v>
      </c>
      <c r="I13" s="16">
        <f>$C$14*$C$13</f>
        <v>4250</v>
      </c>
      <c r="J13" s="11">
        <f t="shared" si="2"/>
        <v>3890.4541644685528</v>
      </c>
    </row>
    <row r="14" spans="2:10" x14ac:dyDescent="0.25">
      <c r="B14" s="14" t="s">
        <v>12</v>
      </c>
      <c r="C14" s="15">
        <v>5000</v>
      </c>
      <c r="E14" s="1">
        <v>70</v>
      </c>
      <c r="F14" s="4">
        <f t="shared" si="0"/>
        <v>132.33024691358025</v>
      </c>
      <c r="G14" s="5">
        <f t="shared" si="1"/>
        <v>255.93624691358028</v>
      </c>
      <c r="H14" s="17">
        <f t="shared" si="3"/>
        <v>4976.538134430728</v>
      </c>
      <c r="I14" s="16">
        <v>4250</v>
      </c>
      <c r="J14" s="11">
        <f t="shared" si="2"/>
        <v>4538.8631918799774</v>
      </c>
    </row>
    <row r="15" spans="2:10" x14ac:dyDescent="0.25">
      <c r="B15" s="7" t="s">
        <v>13</v>
      </c>
      <c r="C15" s="8">
        <v>4000</v>
      </c>
      <c r="E15" s="1">
        <v>80</v>
      </c>
      <c r="F15" s="4">
        <f t="shared" si="0"/>
        <v>172.83950617283952</v>
      </c>
      <c r="G15" s="5">
        <f t="shared" si="1"/>
        <v>296.44550617283954</v>
      </c>
      <c r="H15" s="17">
        <f t="shared" si="3"/>
        <v>6587.6779149519898</v>
      </c>
      <c r="I15" s="16"/>
      <c r="J15" s="11">
        <f t="shared" si="2"/>
        <v>5187.2722192914034</v>
      </c>
    </row>
    <row r="16" spans="2:10" x14ac:dyDescent="0.25">
      <c r="B16" s="7" t="s">
        <v>33</v>
      </c>
      <c r="C16" s="8">
        <v>11.9</v>
      </c>
      <c r="E16" s="1">
        <v>90</v>
      </c>
      <c r="F16" s="4">
        <f t="shared" si="0"/>
        <v>218.75000000000003</v>
      </c>
      <c r="G16" s="5">
        <f t="shared" si="1"/>
        <v>342.35600000000005</v>
      </c>
      <c r="H16" s="17">
        <f t="shared" si="3"/>
        <v>8558.9000000000015</v>
      </c>
      <c r="I16" s="16"/>
      <c r="J16" s="11">
        <f t="shared" si="2"/>
        <v>5835.6812467028294</v>
      </c>
    </row>
    <row r="17" spans="2:10" x14ac:dyDescent="0.25">
      <c r="E17" s="1">
        <v>100</v>
      </c>
      <c r="F17" s="4">
        <f t="shared" si="0"/>
        <v>270.06172839506178</v>
      </c>
      <c r="G17" s="5">
        <f t="shared" si="1"/>
        <v>393.66772839506177</v>
      </c>
      <c r="H17" s="17">
        <f t="shared" si="3"/>
        <v>10935.214677640604</v>
      </c>
      <c r="I17" s="16"/>
      <c r="J17" s="11">
        <f t="shared" si="2"/>
        <v>6484.0902741142554</v>
      </c>
    </row>
    <row r="18" spans="2:10" x14ac:dyDescent="0.25">
      <c r="B18" s="3" t="s">
        <v>5</v>
      </c>
      <c r="C18" s="6">
        <f>$C$7*$C$8*$C$10</f>
        <v>123.60600000000002</v>
      </c>
      <c r="I18" t="s">
        <v>25</v>
      </c>
    </row>
    <row r="20" spans="2:10" x14ac:dyDescent="0.25">
      <c r="E20" s="10" t="s">
        <v>17</v>
      </c>
      <c r="F20" s="10">
        <v>2.2000000000000002</v>
      </c>
      <c r="G20" s="18"/>
      <c r="H20" s="19"/>
    </row>
    <row r="21" spans="2:10" x14ac:dyDescent="0.25">
      <c r="E21" s="10" t="s">
        <v>16</v>
      </c>
      <c r="F21" s="23" t="s">
        <v>7</v>
      </c>
      <c r="G21" s="20"/>
      <c r="H21" s="20"/>
    </row>
    <row r="22" spans="2:10" x14ac:dyDescent="0.25">
      <c r="E22" s="1">
        <v>0</v>
      </c>
      <c r="F22" s="11">
        <f t="shared" ref="F22:F30" si="4">3.6*$C$12*PI()*E22/(60*$F$20)</f>
        <v>0</v>
      </c>
      <c r="G22" s="21"/>
      <c r="H22" s="22"/>
    </row>
    <row r="23" spans="2:10" x14ac:dyDescent="0.25">
      <c r="B23" s="3" t="s">
        <v>31</v>
      </c>
      <c r="C23" s="3"/>
      <c r="E23" s="1">
        <v>500</v>
      </c>
      <c r="F23" s="11">
        <f t="shared" si="4"/>
        <v>7.7111819679022195</v>
      </c>
      <c r="G23" s="21"/>
      <c r="H23" s="22"/>
    </row>
    <row r="24" spans="2:10" x14ac:dyDescent="0.25">
      <c r="B24" s="3" t="s">
        <v>26</v>
      </c>
      <c r="C24" s="3">
        <v>30</v>
      </c>
      <c r="E24" s="1">
        <v>1000</v>
      </c>
      <c r="F24" s="11">
        <f t="shared" si="4"/>
        <v>15.422363935804439</v>
      </c>
      <c r="G24" s="21"/>
      <c r="H24" s="22"/>
    </row>
    <row r="25" spans="2:10" x14ac:dyDescent="0.25">
      <c r="B25" s="3" t="s">
        <v>27</v>
      </c>
      <c r="C25" s="3">
        <v>17</v>
      </c>
      <c r="E25" s="1">
        <v>1500</v>
      </c>
      <c r="F25" s="11">
        <f t="shared" si="4"/>
        <v>23.133545903706658</v>
      </c>
      <c r="G25" s="21"/>
      <c r="H25" s="22"/>
    </row>
    <row r="26" spans="2:10" x14ac:dyDescent="0.25">
      <c r="B26" s="3" t="s">
        <v>28</v>
      </c>
      <c r="C26" s="3">
        <v>60</v>
      </c>
      <c r="E26" s="1">
        <v>2000</v>
      </c>
      <c r="F26" s="11">
        <f t="shared" si="4"/>
        <v>30.844727871608878</v>
      </c>
      <c r="G26" s="21"/>
      <c r="H26" s="22"/>
    </row>
    <row r="27" spans="2:10" x14ac:dyDescent="0.25">
      <c r="B27" s="3" t="s">
        <v>29</v>
      </c>
      <c r="C27" s="3">
        <v>5</v>
      </c>
      <c r="E27" s="1">
        <v>2500</v>
      </c>
      <c r="F27" s="11">
        <f t="shared" si="4"/>
        <v>38.555909839511095</v>
      </c>
      <c r="G27" s="21"/>
      <c r="H27" s="22"/>
    </row>
    <row r="28" spans="2:10" x14ac:dyDescent="0.25">
      <c r="B28" s="3" t="s">
        <v>30</v>
      </c>
      <c r="C28" s="3">
        <v>75</v>
      </c>
      <c r="E28" s="1">
        <v>3000</v>
      </c>
      <c r="F28" s="11">
        <f t="shared" si="4"/>
        <v>46.267091807413316</v>
      </c>
      <c r="G28" s="21"/>
      <c r="H28" s="22"/>
    </row>
    <row r="29" spans="2:10" x14ac:dyDescent="0.25">
      <c r="B29" s="3"/>
      <c r="C29" s="3"/>
      <c r="E29" s="1">
        <v>3500</v>
      </c>
      <c r="F29" s="11">
        <f t="shared" si="4"/>
        <v>53.978273775315536</v>
      </c>
      <c r="G29" s="21"/>
      <c r="H29" s="22"/>
    </row>
    <row r="30" spans="2:10" x14ac:dyDescent="0.25">
      <c r="B30" s="3" t="s">
        <v>32</v>
      </c>
      <c r="C30" s="3">
        <f>SUM(C24:C29)</f>
        <v>187</v>
      </c>
      <c r="E30" s="1">
        <v>4000</v>
      </c>
      <c r="F30" s="11">
        <f t="shared" si="4"/>
        <v>61.689455743217756</v>
      </c>
      <c r="G30" s="21"/>
      <c r="H30" s="22"/>
    </row>
    <row r="33" spans="2:9" x14ac:dyDescent="0.25">
      <c r="B33" s="62" t="s">
        <v>34</v>
      </c>
      <c r="C33" s="62"/>
      <c r="E33" s="10" t="s">
        <v>7</v>
      </c>
      <c r="F33" s="10" t="s">
        <v>18</v>
      </c>
      <c r="G33" s="10" t="s">
        <v>19</v>
      </c>
      <c r="H33" s="10" t="s">
        <v>20</v>
      </c>
      <c r="I33" s="10"/>
    </row>
    <row r="34" spans="2:9" x14ac:dyDescent="0.25">
      <c r="B34" s="2" t="s">
        <v>35</v>
      </c>
      <c r="C34" s="2" t="s">
        <v>36</v>
      </c>
      <c r="E34" s="1">
        <f>E7</f>
        <v>0</v>
      </c>
      <c r="F34" s="11">
        <f>2*$F$20*C35/$C$12</f>
        <v>660.00000000000011</v>
      </c>
      <c r="G34" s="11">
        <f>F34-G7</f>
        <v>536.39400000000012</v>
      </c>
      <c r="H34" s="4">
        <f>G34/$C$7</f>
        <v>2.9799666666666673</v>
      </c>
      <c r="I34" s="11"/>
    </row>
    <row r="35" spans="2:9" x14ac:dyDescent="0.25">
      <c r="B35" s="2">
        <v>0</v>
      </c>
      <c r="C35" s="2">
        <v>27</v>
      </c>
      <c r="E35" s="1">
        <f t="shared" ref="E35:E43" si="5">E8</f>
        <v>10</v>
      </c>
      <c r="F35" s="11">
        <f t="shared" ref="F35:F39" si="6">2*$F$20*C36/$C$12</f>
        <v>660.00000000000011</v>
      </c>
      <c r="G35" s="11">
        <f>F35-G8</f>
        <v>533.69338271604943</v>
      </c>
      <c r="H35" s="4">
        <f t="shared" ref="H35:H42" si="7">G35/$C$7</f>
        <v>2.9649632373113857</v>
      </c>
      <c r="I35" s="11"/>
    </row>
    <row r="36" spans="2:9" x14ac:dyDescent="0.25">
      <c r="B36" s="2">
        <v>500</v>
      </c>
      <c r="C36" s="2">
        <v>27</v>
      </c>
      <c r="E36" s="1">
        <f t="shared" si="5"/>
        <v>20</v>
      </c>
      <c r="F36" s="11">
        <f t="shared" si="6"/>
        <v>660.00000000000011</v>
      </c>
      <c r="G36" s="11">
        <f t="shared" ref="G36:G41" si="8">F36-G9</f>
        <v>525.59153086419758</v>
      </c>
      <c r="H36" s="4">
        <f t="shared" si="7"/>
        <v>2.9199529492455421</v>
      </c>
      <c r="I36" s="11"/>
    </row>
    <row r="37" spans="2:9" x14ac:dyDescent="0.25">
      <c r="B37" s="2">
        <v>1000</v>
      </c>
      <c r="C37" s="2">
        <v>27</v>
      </c>
      <c r="E37" s="1">
        <f t="shared" si="5"/>
        <v>30</v>
      </c>
      <c r="F37" s="11">
        <f t="shared" si="6"/>
        <v>660.00000000000011</v>
      </c>
      <c r="G37" s="11">
        <f t="shared" si="8"/>
        <v>512.08844444444458</v>
      </c>
      <c r="H37" s="4">
        <f t="shared" si="7"/>
        <v>2.8449358024691365</v>
      </c>
      <c r="I37" s="11"/>
    </row>
    <row r="38" spans="2:9" x14ac:dyDescent="0.25">
      <c r="B38" s="2">
        <v>1500</v>
      </c>
      <c r="C38" s="2">
        <v>27</v>
      </c>
      <c r="E38" s="1">
        <f t="shared" si="5"/>
        <v>40</v>
      </c>
      <c r="F38" s="11">
        <f t="shared" si="6"/>
        <v>660.00000000000011</v>
      </c>
      <c r="G38" s="11">
        <f t="shared" si="8"/>
        <v>493.18412345679019</v>
      </c>
      <c r="H38" s="4">
        <f t="shared" si="7"/>
        <v>2.7399117969821676</v>
      </c>
      <c r="I38" s="11"/>
    </row>
    <row r="39" spans="2:9" x14ac:dyDescent="0.25">
      <c r="B39" s="2">
        <v>2000</v>
      </c>
      <c r="C39" s="2">
        <v>27</v>
      </c>
      <c r="E39" s="1">
        <f t="shared" si="5"/>
        <v>50</v>
      </c>
      <c r="F39" s="11">
        <f t="shared" si="6"/>
        <v>660.00000000000011</v>
      </c>
      <c r="G39" s="11">
        <f t="shared" si="8"/>
        <v>468.87856790123465</v>
      </c>
      <c r="H39" s="4">
        <f t="shared" si="7"/>
        <v>2.6048809327846367</v>
      </c>
      <c r="I39" s="11"/>
    </row>
    <row r="40" spans="2:9" x14ac:dyDescent="0.25">
      <c r="B40" s="2">
        <v>2500</v>
      </c>
      <c r="C40" s="2">
        <v>27</v>
      </c>
      <c r="E40" s="1">
        <f t="shared" si="5"/>
        <v>60</v>
      </c>
      <c r="F40" s="11">
        <f>2*$F$20*C42/$C$12</f>
        <v>440.00000000000006</v>
      </c>
      <c r="G40" s="11">
        <f t="shared" si="8"/>
        <v>219.17177777777778</v>
      </c>
      <c r="H40" s="4">
        <f t="shared" si="7"/>
        <v>1.2176209876543209</v>
      </c>
      <c r="I40" s="11"/>
    </row>
    <row r="41" spans="2:9" x14ac:dyDescent="0.25">
      <c r="B41" s="2">
        <v>3000</v>
      </c>
      <c r="C41" s="2">
        <v>27</v>
      </c>
      <c r="E41" s="13">
        <f t="shared" si="5"/>
        <v>70</v>
      </c>
      <c r="F41" s="11">
        <f>2*$F$20*C44/$C$12</f>
        <v>4.8888888888888893</v>
      </c>
      <c r="G41" s="11">
        <f t="shared" si="8"/>
        <v>-251.04735802469139</v>
      </c>
      <c r="H41" s="4">
        <f t="shared" si="7"/>
        <v>-1.3947075445816188</v>
      </c>
      <c r="I41" s="12"/>
    </row>
    <row r="42" spans="2:9" x14ac:dyDescent="0.25">
      <c r="B42" s="2">
        <v>3500</v>
      </c>
      <c r="C42" s="2">
        <v>18</v>
      </c>
      <c r="E42" s="13">
        <f t="shared" si="5"/>
        <v>80</v>
      </c>
      <c r="F42" s="11"/>
      <c r="G42" s="12">
        <f>$F$34-G15</f>
        <v>363.55449382716057</v>
      </c>
      <c r="H42" s="4">
        <f t="shared" si="7"/>
        <v>2.0197471879286697</v>
      </c>
      <c r="I42" s="12"/>
    </row>
    <row r="43" spans="2:9" x14ac:dyDescent="0.25">
      <c r="B43" s="2">
        <v>4000</v>
      </c>
      <c r="C43" s="2">
        <v>11</v>
      </c>
      <c r="E43" s="13">
        <f t="shared" si="5"/>
        <v>90</v>
      </c>
      <c r="F43" s="11"/>
      <c r="G43" s="12">
        <f>$F$34-G16</f>
        <v>317.64400000000006</v>
      </c>
      <c r="H43" s="12"/>
      <c r="I43" s="12"/>
    </row>
    <row r="44" spans="2:9" x14ac:dyDescent="0.25">
      <c r="B44" s="2">
        <v>4500</v>
      </c>
      <c r="C44" s="2">
        <v>0.2</v>
      </c>
    </row>
  </sheetData>
  <mergeCells count="4">
    <mergeCell ref="E5:J5"/>
    <mergeCell ref="B33:C33"/>
    <mergeCell ref="B3:C3"/>
    <mergeCell ref="E3:I3"/>
  </mergeCells>
  <pageMargins left="0.42708333333333331" right="0.16666666666666666" top="0.78740157499999996" bottom="0.78740157499999996" header="0.3" footer="0.3"/>
  <pageSetup paperSize="9" scale="68" orientation="landscape"/>
  <headerFooter>
    <oddHeader>&amp;C
&amp;"-,Bold"&amp;14&amp;KFF0000Calculations kart with 5 kW motor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46"/>
  <sheetViews>
    <sheetView tabSelected="1" view="pageLayout" topLeftCell="A10" zoomScaleNormal="100" workbookViewId="0">
      <selection activeCell="I11" sqref="I11"/>
    </sheetView>
  </sheetViews>
  <sheetFormatPr baseColWidth="10" defaultRowHeight="15" x14ac:dyDescent="0.25"/>
  <cols>
    <col min="1" max="1" width="4.42578125" customWidth="1"/>
    <col min="2" max="2" width="24.7109375" customWidth="1"/>
    <col min="3" max="3" width="8.5703125" customWidth="1"/>
    <col min="4" max="4" width="6" customWidth="1"/>
    <col min="5" max="5" width="11.7109375" customWidth="1"/>
    <col min="6" max="7" width="8.85546875" customWidth="1"/>
    <col min="8" max="8" width="10.140625" customWidth="1"/>
    <col min="9" max="9" width="10.7109375" customWidth="1"/>
    <col min="10" max="10" width="10.5703125" customWidth="1"/>
    <col min="11" max="11" width="5" customWidth="1"/>
  </cols>
  <sheetData>
    <row r="3" spans="2:10" x14ac:dyDescent="0.25">
      <c r="B3" s="62" t="s">
        <v>0</v>
      </c>
      <c r="C3" s="62"/>
      <c r="E3" s="59" t="s">
        <v>15</v>
      </c>
      <c r="F3" s="60"/>
      <c r="G3" s="60"/>
      <c r="H3" s="60"/>
      <c r="I3" s="60"/>
      <c r="J3" s="61"/>
    </row>
    <row r="4" spans="2:10" ht="15.75" thickBot="1" x14ac:dyDescent="0.3"/>
    <row r="5" spans="2:10" ht="15" customHeight="1" x14ac:dyDescent="0.25">
      <c r="B5" s="34" t="s">
        <v>1</v>
      </c>
      <c r="C5" s="41">
        <v>0.65</v>
      </c>
      <c r="E5" s="65" t="s">
        <v>21</v>
      </c>
      <c r="F5" s="66"/>
      <c r="G5" s="66"/>
      <c r="H5" s="66"/>
      <c r="I5" s="66"/>
      <c r="J5" s="67"/>
    </row>
    <row r="6" spans="2:10" x14ac:dyDescent="0.25">
      <c r="B6" s="35" t="s">
        <v>2</v>
      </c>
      <c r="C6" s="42">
        <v>0.7</v>
      </c>
      <c r="E6" s="27" t="s">
        <v>7</v>
      </c>
      <c r="F6" s="10" t="s">
        <v>6</v>
      </c>
      <c r="G6" s="9" t="s">
        <v>9</v>
      </c>
      <c r="H6" s="9" t="s">
        <v>24</v>
      </c>
      <c r="I6" s="24" t="s">
        <v>38</v>
      </c>
      <c r="J6" s="28" t="s">
        <v>22</v>
      </c>
    </row>
    <row r="7" spans="2:10" x14ac:dyDescent="0.25">
      <c r="B7" s="35" t="s">
        <v>3</v>
      </c>
      <c r="C7" s="42">
        <v>180</v>
      </c>
      <c r="E7" s="29">
        <v>0</v>
      </c>
      <c r="F7" s="4">
        <f t="shared" ref="F7:F17" si="0">$C$11*$C$5*$C$6*SUMSQ(E7/3.6)/2</f>
        <v>0</v>
      </c>
      <c r="G7" s="5">
        <f t="shared" ref="G7:G17" si="1">F7+$C$18</f>
        <v>123.60600000000002</v>
      </c>
      <c r="H7" s="17">
        <f>G7*E7/3.6</f>
        <v>0</v>
      </c>
      <c r="I7" s="16">
        <v>0</v>
      </c>
      <c r="J7" s="49">
        <f t="shared" ref="J7:J17" si="2">$F$21*60*(E7/3.6)/($C$12*PI())</f>
        <v>0</v>
      </c>
    </row>
    <row r="8" spans="2:10" x14ac:dyDescent="0.25">
      <c r="B8" s="35" t="s">
        <v>14</v>
      </c>
      <c r="C8" s="42">
        <v>7.0000000000000007E-2</v>
      </c>
      <c r="E8" s="29">
        <v>10</v>
      </c>
      <c r="F8" s="4">
        <f t="shared" si="0"/>
        <v>2.1591435185185182</v>
      </c>
      <c r="G8" s="5">
        <f t="shared" si="1"/>
        <v>125.76514351851854</v>
      </c>
      <c r="H8" s="17">
        <f>G8*E8/3.6</f>
        <v>349.34762088477373</v>
      </c>
      <c r="I8" s="16">
        <v>3500</v>
      </c>
      <c r="J8" s="49">
        <f t="shared" si="2"/>
        <v>707.35530263064595</v>
      </c>
    </row>
    <row r="9" spans="2:10" x14ac:dyDescent="0.25">
      <c r="B9" s="35" t="s">
        <v>37</v>
      </c>
      <c r="C9" s="43">
        <v>0.9</v>
      </c>
      <c r="E9" s="29">
        <v>20</v>
      </c>
      <c r="F9" s="4">
        <f t="shared" si="0"/>
        <v>8.6365740740740726</v>
      </c>
      <c r="G9" s="5">
        <f t="shared" si="1"/>
        <v>132.2425740740741</v>
      </c>
      <c r="H9" s="17">
        <f t="shared" ref="H9:H17" si="3">G9*E9/3.6</f>
        <v>734.6809670781895</v>
      </c>
      <c r="I9" s="16">
        <v>6000</v>
      </c>
      <c r="J9" s="49">
        <f t="shared" si="2"/>
        <v>1414.7106052612919</v>
      </c>
    </row>
    <row r="10" spans="2:10" x14ac:dyDescent="0.25">
      <c r="B10" s="35" t="s">
        <v>4</v>
      </c>
      <c r="C10" s="42">
        <v>9.81</v>
      </c>
      <c r="E10" s="29">
        <v>30</v>
      </c>
      <c r="F10" s="4">
        <f t="shared" si="0"/>
        <v>19.432291666666668</v>
      </c>
      <c r="G10" s="5">
        <f t="shared" si="1"/>
        <v>143.03829166666668</v>
      </c>
      <c r="H10" s="17">
        <f t="shared" si="3"/>
        <v>1191.9857638888889</v>
      </c>
      <c r="I10" s="16">
        <v>8100</v>
      </c>
      <c r="J10" s="49">
        <f t="shared" si="2"/>
        <v>2122.065907891938</v>
      </c>
    </row>
    <row r="11" spans="2:10" x14ac:dyDescent="0.25">
      <c r="B11" s="35" t="s">
        <v>8</v>
      </c>
      <c r="C11" s="42">
        <v>1.23</v>
      </c>
      <c r="E11" s="29">
        <v>40</v>
      </c>
      <c r="F11" s="4">
        <f t="shared" si="0"/>
        <v>34.546296296296291</v>
      </c>
      <c r="G11" s="5">
        <f t="shared" si="1"/>
        <v>158.1522962962963</v>
      </c>
      <c r="H11" s="17">
        <f t="shared" si="3"/>
        <v>1757.2477366255143</v>
      </c>
      <c r="I11" s="16">
        <v>9800</v>
      </c>
      <c r="J11" s="49">
        <f t="shared" si="2"/>
        <v>2829.4212105225838</v>
      </c>
    </row>
    <row r="12" spans="2:10" x14ac:dyDescent="0.25">
      <c r="B12" s="44" t="s">
        <v>10</v>
      </c>
      <c r="C12" s="43">
        <v>0.24</v>
      </c>
      <c r="E12" s="29">
        <v>50</v>
      </c>
      <c r="F12" s="4">
        <f t="shared" si="0"/>
        <v>53.978587962962962</v>
      </c>
      <c r="G12" s="5">
        <f t="shared" si="1"/>
        <v>177.58458796296298</v>
      </c>
      <c r="H12" s="17">
        <f t="shared" si="3"/>
        <v>2466.4526105967079</v>
      </c>
      <c r="I12" s="16">
        <v>8900</v>
      </c>
      <c r="J12" s="49">
        <f t="shared" si="2"/>
        <v>3536.7765131532306</v>
      </c>
    </row>
    <row r="13" spans="2:10" x14ac:dyDescent="0.25">
      <c r="B13" s="44" t="s">
        <v>11</v>
      </c>
      <c r="C13" s="43">
        <v>0.9</v>
      </c>
      <c r="E13" s="29">
        <v>60</v>
      </c>
      <c r="F13" s="4">
        <f t="shared" si="0"/>
        <v>77.729166666666671</v>
      </c>
      <c r="G13" s="5">
        <f t="shared" si="1"/>
        <v>201.33516666666668</v>
      </c>
      <c r="H13" s="17">
        <f t="shared" si="3"/>
        <v>3355.5861111111112</v>
      </c>
      <c r="I13" s="16">
        <v>6300</v>
      </c>
      <c r="J13" s="49">
        <f t="shared" si="2"/>
        <v>4244.1318157838759</v>
      </c>
    </row>
    <row r="14" spans="2:10" x14ac:dyDescent="0.25">
      <c r="B14" s="45" t="s">
        <v>12</v>
      </c>
      <c r="C14" s="46">
        <v>10000</v>
      </c>
      <c r="E14" s="29">
        <v>70</v>
      </c>
      <c r="F14" s="4">
        <f t="shared" si="0"/>
        <v>105.79803240740739</v>
      </c>
      <c r="G14" s="5">
        <f t="shared" si="1"/>
        <v>229.40403240740741</v>
      </c>
      <c r="H14" s="17">
        <f t="shared" si="3"/>
        <v>4460.6339634773658</v>
      </c>
      <c r="I14" s="16">
        <v>1300</v>
      </c>
      <c r="J14" s="49">
        <f t="shared" si="2"/>
        <v>4951.4871184145213</v>
      </c>
    </row>
    <row r="15" spans="2:10" x14ac:dyDescent="0.25">
      <c r="B15" s="44" t="s">
        <v>13</v>
      </c>
      <c r="C15" s="43">
        <v>4000</v>
      </c>
      <c r="E15" s="29">
        <v>80</v>
      </c>
      <c r="F15" s="4">
        <f t="shared" si="0"/>
        <v>138.18518518518516</v>
      </c>
      <c r="G15" s="5">
        <f t="shared" si="1"/>
        <v>261.79118518518521</v>
      </c>
      <c r="H15" s="17">
        <f t="shared" si="3"/>
        <v>5817.581893004116</v>
      </c>
      <c r="I15" s="16">
        <v>100</v>
      </c>
      <c r="J15" s="49">
        <f t="shared" si="2"/>
        <v>5658.8424210451676</v>
      </c>
    </row>
    <row r="16" spans="2:10" ht="15.75" thickBot="1" x14ac:dyDescent="0.3">
      <c r="B16" s="47" t="s">
        <v>33</v>
      </c>
      <c r="C16" s="48">
        <v>30</v>
      </c>
      <c r="E16" s="29">
        <v>90</v>
      </c>
      <c r="F16" s="4">
        <f t="shared" si="0"/>
        <v>174.890625</v>
      </c>
      <c r="G16" s="5">
        <f t="shared" si="1"/>
        <v>298.49662499999999</v>
      </c>
      <c r="H16" s="17">
        <f t="shared" si="3"/>
        <v>7462.4156249999996</v>
      </c>
      <c r="I16" s="16">
        <v>10</v>
      </c>
      <c r="J16" s="49">
        <f t="shared" si="2"/>
        <v>6366.1977236758139</v>
      </c>
    </row>
    <row r="17" spans="2:10" ht="15.75" thickBot="1" x14ac:dyDescent="0.3">
      <c r="E17" s="31">
        <v>100</v>
      </c>
      <c r="F17" s="50">
        <f t="shared" si="0"/>
        <v>215.91435185185185</v>
      </c>
      <c r="G17" s="51">
        <f t="shared" si="1"/>
        <v>339.52035185185184</v>
      </c>
      <c r="H17" s="52">
        <f t="shared" si="3"/>
        <v>9431.1208847736616</v>
      </c>
      <c r="I17" s="53">
        <v>0</v>
      </c>
      <c r="J17" s="54">
        <f t="shared" si="2"/>
        <v>7073.5530263064611</v>
      </c>
    </row>
    <row r="18" spans="2:10" ht="15.75" thickBot="1" x14ac:dyDescent="0.3">
      <c r="B18" s="57" t="s">
        <v>5</v>
      </c>
      <c r="C18" s="58">
        <f>$C$7*$C$8*$C$10</f>
        <v>123.60600000000002</v>
      </c>
    </row>
    <row r="20" spans="2:10" ht="15.75" thickBot="1" x14ac:dyDescent="0.3"/>
    <row r="21" spans="2:10" x14ac:dyDescent="0.25">
      <c r="B21" s="65" t="s">
        <v>40</v>
      </c>
      <c r="C21" s="67"/>
      <c r="E21" s="26" t="s">
        <v>17</v>
      </c>
      <c r="F21" s="68">
        <v>3.2</v>
      </c>
      <c r="G21" s="68"/>
      <c r="H21" s="68"/>
      <c r="I21" s="69"/>
    </row>
    <row r="22" spans="2:10" x14ac:dyDescent="0.25">
      <c r="B22" s="35" t="s">
        <v>26</v>
      </c>
      <c r="C22" s="38">
        <v>30</v>
      </c>
      <c r="E22" s="27" t="s">
        <v>16</v>
      </c>
      <c r="F22" s="10" t="s">
        <v>7</v>
      </c>
      <c r="G22" s="10" t="s">
        <v>18</v>
      </c>
      <c r="H22" s="10" t="s">
        <v>19</v>
      </c>
      <c r="I22" s="28" t="s">
        <v>20</v>
      </c>
    </row>
    <row r="23" spans="2:10" x14ac:dyDescent="0.25">
      <c r="B23" s="35" t="s">
        <v>27</v>
      </c>
      <c r="C23" s="38">
        <v>17</v>
      </c>
      <c r="E23" s="29">
        <v>0</v>
      </c>
      <c r="F23" s="11">
        <f t="shared" ref="F23:F32" si="4">3.6*$C$12*PI()*E23/(60*$F$21)</f>
        <v>0</v>
      </c>
      <c r="G23" s="11">
        <f t="shared" ref="G23:G32" si="5">2*$F$21*C32/$C$12</f>
        <v>1600</v>
      </c>
      <c r="H23" s="11">
        <f>G23-(($C$11*$C$5*$C$6*SUMSQ(F23/3.6)/2)+$C$18)</f>
        <v>1476.394</v>
      </c>
      <c r="I23" s="30">
        <f>H23/$C$7</f>
        <v>8.2021888888888892</v>
      </c>
    </row>
    <row r="24" spans="2:10" x14ac:dyDescent="0.25">
      <c r="B24" s="35" t="s">
        <v>28</v>
      </c>
      <c r="C24" s="38">
        <v>60</v>
      </c>
      <c r="E24" s="29">
        <v>500</v>
      </c>
      <c r="F24" s="11">
        <f t="shared" si="4"/>
        <v>7.0685834705770345</v>
      </c>
      <c r="G24" s="11">
        <f t="shared" si="5"/>
        <v>1333.3333333333335</v>
      </c>
      <c r="H24" s="11">
        <f t="shared" ref="H24:H32" si="6">G24-(($C$11*$C$5*$C$6*SUMSQ(F24/3.6)/2)+$C$18)</f>
        <v>1208.6485200319526</v>
      </c>
      <c r="I24" s="30">
        <f t="shared" ref="I24:I32" si="7">H24/$C$7</f>
        <v>6.7147140001775139</v>
      </c>
    </row>
    <row r="25" spans="2:10" x14ac:dyDescent="0.25">
      <c r="B25" s="35" t="s">
        <v>29</v>
      </c>
      <c r="C25" s="38">
        <v>5</v>
      </c>
      <c r="E25" s="29">
        <v>1000</v>
      </c>
      <c r="F25" s="11">
        <f t="shared" si="4"/>
        <v>14.137166941154069</v>
      </c>
      <c r="G25" s="11">
        <f t="shared" si="5"/>
        <v>1173.3333333333335</v>
      </c>
      <c r="H25" s="11">
        <f t="shared" si="6"/>
        <v>1045.4120801278102</v>
      </c>
      <c r="I25" s="30">
        <f t="shared" si="7"/>
        <v>5.8078448895989458</v>
      </c>
    </row>
    <row r="26" spans="2:10" ht="15.75" thickBot="1" x14ac:dyDescent="0.3">
      <c r="B26" s="55" t="s">
        <v>30</v>
      </c>
      <c r="C26" s="56">
        <v>75</v>
      </c>
      <c r="E26" s="29">
        <v>1500</v>
      </c>
      <c r="F26" s="11">
        <f t="shared" si="4"/>
        <v>21.205750411731103</v>
      </c>
      <c r="G26" s="11">
        <f t="shared" si="5"/>
        <v>1066.6666666666667</v>
      </c>
      <c r="H26" s="11">
        <f t="shared" si="6"/>
        <v>933.3513469542396</v>
      </c>
      <c r="I26" s="30">
        <f t="shared" si="7"/>
        <v>5.1852852608568867</v>
      </c>
    </row>
    <row r="27" spans="2:10" ht="16.5" thickTop="1" thickBot="1" x14ac:dyDescent="0.3">
      <c r="B27" s="36" t="s">
        <v>32</v>
      </c>
      <c r="C27" s="40">
        <f ca="1">SUM(C22:C27)</f>
        <v>187</v>
      </c>
      <c r="E27" s="29">
        <v>2000</v>
      </c>
      <c r="F27" s="11">
        <f t="shared" si="4"/>
        <v>28.274333882308138</v>
      </c>
      <c r="G27" s="11">
        <f t="shared" si="5"/>
        <v>960.00000000000011</v>
      </c>
      <c r="H27" s="11">
        <f t="shared" si="6"/>
        <v>819.13298717790735</v>
      </c>
      <c r="I27" s="30">
        <f t="shared" si="7"/>
        <v>4.5507388176550405</v>
      </c>
    </row>
    <row r="28" spans="2:10" x14ac:dyDescent="0.25">
      <c r="E28" s="29">
        <v>2500</v>
      </c>
      <c r="F28" s="11">
        <f t="shared" si="4"/>
        <v>35.342917352885173</v>
      </c>
      <c r="G28" s="11">
        <f t="shared" si="5"/>
        <v>906.66666666666674</v>
      </c>
      <c r="H28" s="11">
        <f t="shared" si="6"/>
        <v>756.09033413214684</v>
      </c>
      <c r="I28" s="30">
        <f t="shared" si="7"/>
        <v>4.200501856289705</v>
      </c>
    </row>
    <row r="29" spans="2:10" ht="15.75" thickBot="1" x14ac:dyDescent="0.3">
      <c r="B29" s="25"/>
      <c r="C29" s="25"/>
      <c r="E29" s="29">
        <v>3000</v>
      </c>
      <c r="F29" s="11">
        <f t="shared" si="4"/>
        <v>42.411500823462205</v>
      </c>
      <c r="G29" s="11">
        <f t="shared" si="5"/>
        <v>853.33333333333337</v>
      </c>
      <c r="H29" s="11">
        <f t="shared" si="6"/>
        <v>690.89005448362479</v>
      </c>
      <c r="I29" s="30">
        <f t="shared" si="7"/>
        <v>3.8382780804645824</v>
      </c>
    </row>
    <row r="30" spans="2:10" x14ac:dyDescent="0.25">
      <c r="B30" s="63" t="s">
        <v>39</v>
      </c>
      <c r="C30" s="64"/>
      <c r="E30" s="29">
        <v>3500</v>
      </c>
      <c r="F30" s="11">
        <f t="shared" si="4"/>
        <v>49.480084294039244</v>
      </c>
      <c r="G30" s="11">
        <f t="shared" si="5"/>
        <v>640.00000000000011</v>
      </c>
      <c r="H30" s="11">
        <f t="shared" si="6"/>
        <v>463.53214823234123</v>
      </c>
      <c r="I30" s="30">
        <f t="shared" si="7"/>
        <v>2.5751786012907845</v>
      </c>
    </row>
    <row r="31" spans="2:10" x14ac:dyDescent="0.25">
      <c r="B31" s="37" t="s">
        <v>35</v>
      </c>
      <c r="C31" s="38" t="s">
        <v>36</v>
      </c>
      <c r="E31" s="29">
        <v>4000</v>
      </c>
      <c r="F31" s="11">
        <f t="shared" si="4"/>
        <v>56.548667764616276</v>
      </c>
      <c r="G31" s="11">
        <f t="shared" si="5"/>
        <v>480.00000000000006</v>
      </c>
      <c r="H31" s="11">
        <f t="shared" si="6"/>
        <v>287.34994871162928</v>
      </c>
      <c r="I31" s="30">
        <f t="shared" si="7"/>
        <v>1.596388603953496</v>
      </c>
    </row>
    <row r="32" spans="2:10" ht="15.75" thickBot="1" x14ac:dyDescent="0.3">
      <c r="B32" s="37">
        <v>0</v>
      </c>
      <c r="C32" s="38">
        <v>60</v>
      </c>
      <c r="E32" s="31">
        <v>4500</v>
      </c>
      <c r="F32" s="32">
        <f t="shared" si="4"/>
        <v>63.617251235193315</v>
      </c>
      <c r="G32" s="32">
        <f t="shared" si="5"/>
        <v>226.66666666666669</v>
      </c>
      <c r="H32" s="32">
        <f t="shared" si="6"/>
        <v>15.676789254822438</v>
      </c>
      <c r="I32" s="33">
        <f t="shared" si="7"/>
        <v>8.7093273637902438E-2</v>
      </c>
    </row>
    <row r="33" spans="2:9" x14ac:dyDescent="0.25">
      <c r="B33" s="37">
        <v>500</v>
      </c>
      <c r="C33" s="38">
        <v>50</v>
      </c>
      <c r="E33" s="18"/>
      <c r="F33" s="25"/>
      <c r="G33" s="25"/>
      <c r="H33" s="25"/>
      <c r="I33" s="21"/>
    </row>
    <row r="34" spans="2:9" x14ac:dyDescent="0.25">
      <c r="B34" s="37">
        <v>1000</v>
      </c>
      <c r="C34" s="38">
        <v>44</v>
      </c>
      <c r="E34" s="21"/>
      <c r="F34" s="25"/>
      <c r="G34" s="25"/>
      <c r="H34" s="25"/>
      <c r="I34" s="21"/>
    </row>
    <row r="35" spans="2:9" x14ac:dyDescent="0.25">
      <c r="B35" s="37">
        <v>1500</v>
      </c>
      <c r="C35" s="38">
        <v>40</v>
      </c>
      <c r="G35" s="25"/>
      <c r="H35" s="25"/>
      <c r="I35" s="21"/>
    </row>
    <row r="36" spans="2:9" x14ac:dyDescent="0.25">
      <c r="B36" s="37">
        <v>2000</v>
      </c>
      <c r="C36" s="38">
        <v>36</v>
      </c>
      <c r="G36" s="25"/>
      <c r="H36" s="25"/>
      <c r="I36" s="21"/>
    </row>
    <row r="37" spans="2:9" x14ac:dyDescent="0.25">
      <c r="B37" s="37">
        <v>2500</v>
      </c>
      <c r="C37" s="38">
        <v>34</v>
      </c>
      <c r="G37" s="25"/>
      <c r="H37" s="25"/>
      <c r="I37" s="21"/>
    </row>
    <row r="38" spans="2:9" x14ac:dyDescent="0.25">
      <c r="B38" s="37">
        <v>3000</v>
      </c>
      <c r="C38" s="38">
        <v>32</v>
      </c>
      <c r="G38" s="25"/>
      <c r="H38" s="25"/>
      <c r="I38" s="21"/>
    </row>
    <row r="39" spans="2:9" x14ac:dyDescent="0.25">
      <c r="B39" s="37">
        <v>3500</v>
      </c>
      <c r="C39" s="38">
        <v>24</v>
      </c>
      <c r="G39" s="25"/>
      <c r="H39" s="25"/>
      <c r="I39" s="21"/>
    </row>
    <row r="40" spans="2:9" x14ac:dyDescent="0.25">
      <c r="B40" s="37">
        <v>4000</v>
      </c>
      <c r="C40" s="38">
        <v>18</v>
      </c>
      <c r="G40" s="25"/>
      <c r="H40" s="25"/>
      <c r="I40" s="22"/>
    </row>
    <row r="41" spans="2:9" ht="15.75" thickBot="1" x14ac:dyDescent="0.3">
      <c r="B41" s="39">
        <v>4500</v>
      </c>
      <c r="C41" s="40">
        <v>8.5</v>
      </c>
      <c r="G41" s="25"/>
      <c r="H41" s="25"/>
      <c r="I41" s="22"/>
    </row>
    <row r="42" spans="2:9" x14ac:dyDescent="0.25">
      <c r="G42" s="25"/>
      <c r="H42" s="25"/>
      <c r="I42" s="22"/>
    </row>
    <row r="43" spans="2:9" x14ac:dyDescent="0.25">
      <c r="G43" s="25"/>
    </row>
    <row r="44" spans="2:9" x14ac:dyDescent="0.25">
      <c r="G44" s="25"/>
    </row>
    <row r="45" spans="2:9" x14ac:dyDescent="0.25">
      <c r="G45" s="25"/>
    </row>
    <row r="46" spans="2:9" x14ac:dyDescent="0.25">
      <c r="G46" s="25"/>
    </row>
  </sheetData>
  <mergeCells count="6">
    <mergeCell ref="B30:C30"/>
    <mergeCell ref="B3:C3"/>
    <mergeCell ref="E5:J5"/>
    <mergeCell ref="F21:I21"/>
    <mergeCell ref="B21:C21"/>
    <mergeCell ref="E3:J3"/>
  </mergeCells>
  <pageMargins left="0.45833333333333331" right="0.30208333333333331" top="0.78740157480314965" bottom="0.78740157480314965" header="0.31496062992125984" footer="0.31496062992125984"/>
  <pageSetup paperSize="9" scale="69" orientation="landscape"/>
  <headerFooter>
    <oddHeader>&amp;C
&amp;"-,Bold"&amp;14&amp;KFF0000Calculations kart with 10 kW motor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5kW</vt:lpstr>
      <vt:lpstr>10kW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